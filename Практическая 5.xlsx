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41280" windowHeight="13512"/>
  </bookViews>
  <sheets>
    <sheet name="Математика" sheetId="1" r:id="rId1"/>
    <sheet name="Сложный процент" sheetId="2" r:id="rId2"/>
    <sheet name="Расчет кредита" sheetId="3" r:id="rId3"/>
  </sheets>
  <calcPr calcId="162913"/>
</workbook>
</file>

<file path=xl/calcChain.xml><?xml version="1.0" encoding="utf-8"?>
<calcChain xmlns="http://schemas.openxmlformats.org/spreadsheetml/2006/main">
  <c r="A5" i="3" l="1"/>
  <c r="A6" i="3" s="1"/>
  <c r="A7" i="3" s="1"/>
  <c r="Z10" i="2"/>
  <c r="T7" i="2"/>
  <c r="T6" i="2"/>
  <c r="T5" i="2"/>
  <c r="T4" i="2"/>
  <c r="Z8" i="1"/>
  <c r="X8" i="1"/>
  <c r="I8" i="1"/>
  <c r="G8" i="1"/>
  <c r="H8" i="1" s="1"/>
  <c r="F8" i="1"/>
  <c r="AA7" i="1"/>
  <c r="Z7" i="1"/>
  <c r="X7" i="1"/>
  <c r="I7" i="1"/>
  <c r="H7" i="1"/>
  <c r="G7" i="1"/>
  <c r="F7" i="1"/>
  <c r="AA6" i="1"/>
  <c r="Z6" i="1"/>
  <c r="X6" i="1"/>
  <c r="I6" i="1"/>
  <c r="G6" i="1"/>
  <c r="H6" i="1" s="1"/>
  <c r="F6" i="1"/>
  <c r="AA5" i="1"/>
  <c r="Z5" i="1"/>
  <c r="X5" i="1"/>
  <c r="I5" i="1"/>
  <c r="G5" i="1"/>
  <c r="H5" i="1" s="1"/>
  <c r="F5" i="1"/>
  <c r="AA4" i="1"/>
  <c r="Z4" i="1"/>
  <c r="X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<sst xmlns="http://schemas.openxmlformats.org/spreadsheetml/2006/main" count="32" uniqueCount="32">
  <si>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</si>
  <si>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</si>
  <si>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</si>
  <si>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</si>
  <si>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</si>
  <si>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</si>
  <si>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</si>
  <si>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</si>
  <si>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- 3|</t>
  </si>
  <si>
    <t>Длина дуги</t>
  </si>
  <si>
    <t>Дуга через РАДИАНЫ</t>
  </si>
  <si>
    <t>Общая масса всех деталей</t>
  </si>
  <si>
    <t>Масса деталей &gt; 2 кг</t>
  </si>
  <si>
    <t>Средневзвешенная масса</t>
  </si>
  <si>
    <t>Количество деталей &gt; 2 кг</t>
  </si>
  <si>
    <t>Средняя масса</t>
  </si>
  <si>
    <t>Максимальная масса</t>
  </si>
  <si>
    <t>Минимальная масса</t>
  </si>
  <si>
    <t>Начальная сумма</t>
  </si>
  <si>
    <t>Ставка годовая</t>
  </si>
  <si>
    <t>Срок, лет</t>
  </si>
  <si>
    <t>Сложный процент (формула 1)</t>
  </si>
  <si>
    <t>Непрерывное начисление</t>
  </si>
  <si>
    <t>Правило 72 (удвоение)</t>
  </si>
  <si>
    <t>Точное удвоение (ЛН)</t>
  </si>
  <si>
    <t>Обратное преобразование</t>
  </si>
  <si>
    <t>Сумма кредита</t>
  </si>
  <si>
    <t>Годовая ставка</t>
  </si>
  <si>
    <t>Срок (лет)</t>
  </si>
  <si>
    <t>Ежемесячный платеж (аннуитет)</t>
  </si>
  <si>
    <t>Общая сумма выплат</t>
  </si>
  <si>
    <t>Переплата по кредиту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</si>
</sst>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"/>
    <numFmt numFmtId="165" formatCode="#,##0.00&quot; руб.&quot;"/>
    <numFmt numFmtId="166" formatCode="0.0&quot; лет&quot;"/>
    <numFmt numFmtId="167" formatCode="0.000&quot; лет&quot;"/>
    <numFmt numFmtId="168" formatCode="0&quot;°&quot;"/>
    <numFmt numFmtId="169" formatCode="#,##0&quot; руб.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9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zoomScale="58" zoomScaleNormal="58" workbookViewId="0">
      <selection activeCell="K1" sqref="K1"/>
    </sheetView>
  </sheetViews>
  <sheetFormatPr defaultRowHeight="14.4" x14ac:dyDescent="0.3"/>
  <cols>
    <col min="1" max="1" width="12" customWidth="1"/>
    <col min="2" max="3" width="16" customWidth="1"/>
    <col min="4" max="6" width="15" customWidth="1"/>
    <col min="7" max="7" width="23" customWidth="1"/>
    <col min="8" max="8" width="12" customWidth="1"/>
    <col min="9" max="9" width="16" customWidth="1"/>
    <col min="10" max="10" width="13" customWidth="1"/>
    <col min="11" max="23" width="12" customWidth="1"/>
    <col min="24" max="24" width="20" customWidth="1"/>
    <col min="25" max="25" width="12" customWidth="1"/>
    <col min="26" max="26" width="21" customWidth="1"/>
    <col min="27" max="27" width="38" customWidth="1"/>
    <col min="28" max="28" width="28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/>
      <c r="X1" s="1" t="s">
        <v>9</v>
      </c>
      <c r="Y1" s="2"/>
      <c r="Z1" s="1" t="s">
        <v>10</v>
      </c>
      <c r="AA1" s="3">
        <f>SUM(D2:D8)</f>
        <v>21.799999999999997</v>
      </c>
      <c r="AB1" s="2" t="s">
        <v>11</v>
      </c>
    </row>
    <row r="2" spans="1:28" x14ac:dyDescent="0.3">
      <c r="A2" s="4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PI()*POWER(B2,2)*C2</f>
        <v>14726.215563702155</v>
      </c>
      <c r="H2" s="3">
        <f t="shared" ref="H2:H8" si="2">SQRT(G2)</f>
        <v>121.3516195347312</v>
      </c>
      <c r="I2" s="3">
        <f>ABS(D2-$K$1)</f>
        <v>2.4</v>
      </c>
      <c r="X2" s="3">
        <f>PI()*B2*$Y$1/180</f>
        <v>0</v>
      </c>
      <c r="Z2" s="3">
        <f t="shared" ref="Z2:Z8" si="3">B2*RADIANS($Y$1)</f>
        <v>0</v>
      </c>
      <c r="AA2" s="3">
        <f>SUMIF(D2:D8,"&gt;2")</f>
        <v>18.100000000000001</v>
      </c>
      <c r="AB2" s="2" t="s">
        <v>12</v>
      </c>
    </row>
    <row r="3" spans="1:28" x14ac:dyDescent="0.3">
      <c r="A3" s="4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>ABS(D3-$K$1)</f>
        <v>1.1000000000000001</v>
      </c>
      <c r="X3" s="3">
        <f>PI()*B3*$Y$1/180</f>
        <v>0</v>
      </c>
      <c r="Z3" s="3">
        <f t="shared" si="3"/>
        <v>0</v>
      </c>
      <c r="AA3" s="3">
        <f>SUMPRODUCT(D2:D8,E2:E8)/SUM(E2:E8)</f>
        <v>4.0744612928970474</v>
      </c>
      <c r="AB3" s="2" t="s">
        <v>13</v>
      </c>
    </row>
    <row r="4" spans="1:28" x14ac:dyDescent="0.3">
      <c r="A4" s="4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>ABS(D4-$K$1)</f>
        <v>4</v>
      </c>
      <c r="X4" s="3">
        <f t="shared" ref="X2:X8" si="4">PI()*B4*$Y$1/180</f>
        <v>0</v>
      </c>
      <c r="Z4" s="3">
        <f t="shared" si="3"/>
        <v>0</v>
      </c>
      <c r="AA4" s="3">
        <f>COUNTIF(D2:D8,"&gt;2")</f>
        <v>4</v>
      </c>
      <c r="AB4" s="2" t="s">
        <v>14</v>
      </c>
    </row>
    <row r="5" spans="1:28" x14ac:dyDescent="0.3">
      <c r="A5" s="4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>ABS(D5-$K$1)</f>
        <v>0.7</v>
      </c>
      <c r="X5" s="3">
        <f t="shared" si="4"/>
        <v>0</v>
      </c>
      <c r="Z5" s="3">
        <f t="shared" si="3"/>
        <v>0</v>
      </c>
      <c r="AA5" s="3">
        <f>AVERAGE(D2:D8)</f>
        <v>3.1142857142857139</v>
      </c>
      <c r="AB5" s="2" t="s">
        <v>15</v>
      </c>
    </row>
    <row r="6" spans="1:28" x14ac:dyDescent="0.3">
      <c r="A6" s="4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>ABS(D6-$K$1)</f>
        <v>6.5</v>
      </c>
      <c r="X6" s="3">
        <f t="shared" si="4"/>
        <v>0</v>
      </c>
      <c r="Z6" s="3">
        <f t="shared" si="3"/>
        <v>0</v>
      </c>
      <c r="AA6" s="3">
        <f>MAX(D2:D8)</f>
        <v>6.5</v>
      </c>
      <c r="AB6" s="2" t="s">
        <v>16</v>
      </c>
    </row>
    <row r="7" spans="1:28" x14ac:dyDescent="0.3">
      <c r="A7" s="4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>ABS(D7-$K$1)</f>
        <v>1.9</v>
      </c>
      <c r="X7" s="3">
        <f t="shared" si="4"/>
        <v>0</v>
      </c>
      <c r="Z7" s="3">
        <f t="shared" si="3"/>
        <v>0</v>
      </c>
      <c r="AA7" s="3">
        <f>MIN(D2:D8)</f>
        <v>0.7</v>
      </c>
      <c r="AB7" s="2" t="s">
        <v>17</v>
      </c>
    </row>
    <row r="8" spans="1:28" x14ac:dyDescent="0.3">
      <c r="A8" s="4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>ABS(D8-$K$1)</f>
        <v>5.2</v>
      </c>
      <c r="X8" s="3">
        <f t="shared" si="4"/>
        <v>0</v>
      </c>
      <c r="Z8" s="3">
        <f t="shared" si="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1:Z10"/>
  <sheetViews>
    <sheetView workbookViewId="0"/>
  </sheetViews>
  <sheetFormatPr defaultRowHeight="14.4" x14ac:dyDescent="0.3"/>
  <cols>
    <col min="19" max="19" width="30" customWidth="1"/>
    <col min="20" max="20" width="18" customWidth="1"/>
    <col min="25" max="25" width="25" customWidth="1"/>
  </cols>
  <sheetData>
    <row r="1" spans="19:26" x14ac:dyDescent="0.3">
      <c r="S1" s="2" t="s">
        <v>18</v>
      </c>
      <c r="T1" s="5">
        <v>100000</v>
      </c>
    </row>
    <row r="2" spans="19:26" x14ac:dyDescent="0.3">
      <c r="S2" s="2" t="s">
        <v>19</v>
      </c>
      <c r="T2" s="6">
        <v>0.12</v>
      </c>
    </row>
    <row r="3" spans="19:26" x14ac:dyDescent="0.3">
      <c r="S3" s="2" t="s">
        <v>20</v>
      </c>
      <c r="T3" s="2">
        <v>5</v>
      </c>
    </row>
    <row r="4" spans="19:26" x14ac:dyDescent="0.3">
      <c r="S4" s="2" t="s">
        <v>21</v>
      </c>
      <c r="T4" s="5">
        <f>T1*POWER(1+T2,T3)</f>
        <v>176234.16832000006</v>
      </c>
    </row>
    <row r="5" spans="19:26" x14ac:dyDescent="0.3">
      <c r="S5" s="2" t="s">
        <v>22</v>
      </c>
      <c r="T5" s="5">
        <f>T1*EXP(T2*T3)</f>
        <v>182211.88003905088</v>
      </c>
    </row>
    <row r="6" spans="19:26" x14ac:dyDescent="0.3">
      <c r="S6" s="2" t="s">
        <v>23</v>
      </c>
      <c r="T6" s="7">
        <f>72/(T2*100)</f>
        <v>6</v>
      </c>
    </row>
    <row r="7" spans="19:26" x14ac:dyDescent="0.3">
      <c r="S7" s="2" t="s">
        <v>24</v>
      </c>
      <c r="T7" s="8">
        <f>LN(2)/LN(1+T2)</f>
        <v>6.1162553741996994</v>
      </c>
    </row>
    <row r="10" spans="19:26" x14ac:dyDescent="0.3">
      <c r="Y10" s="2" t="s">
        <v>25</v>
      </c>
      <c r="Z10" s="9">
        <f>DEGREES(PI()/3)</f>
        <v>59.999999999999993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 x14ac:dyDescent="0.3"/>
  <cols>
    <col min="1" max="1" width="18" customWidth="1"/>
    <col min="2" max="2" width="32" customWidth="1"/>
  </cols>
  <sheetData>
    <row r="1" spans="1:2" x14ac:dyDescent="0.3">
      <c r="A1" s="10">
        <v>500000</v>
      </c>
      <c r="B1" s="2" t="s">
        <v>26</v>
      </c>
    </row>
    <row r="2" spans="1:2" x14ac:dyDescent="0.3">
      <c r="A2" s="6">
        <v>0.18</v>
      </c>
      <c r="B2" s="2" t="s">
        <v>27</v>
      </c>
    </row>
    <row r="3" spans="1:2" x14ac:dyDescent="0.3">
      <c r="A3" s="2">
        <v>3</v>
      </c>
      <c r="B3" s="2" t="s">
        <v>28</v>
      </c>
    </row>
    <row r="5" spans="1:2" x14ac:dyDescent="0.3">
      <c r="A5" s="5">
        <f>PMT(A2/12, A3*12, -A1)</f>
        <v>18076.197767958416</v>
      </c>
      <c r="B5" s="2" t="s">
        <v>29</v>
      </c>
    </row>
    <row r="6" spans="1:2" x14ac:dyDescent="0.3">
      <c r="A6" s="5">
        <f>A5*A3*12</f>
        <v>650743.11964650301</v>
      </c>
      <c r="B6" s="2" t="s">
        <v>30</v>
      </c>
    </row>
    <row r="7" spans="1:2" x14ac:dyDescent="0.3">
      <c r="A7" s="5">
        <f>A6-A1</f>
        <v>150743.11964650301</v>
      </c>
      <c r="B7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Математика</vt:lpstr>
      <vt:lpstr>Сложный процент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2026-10-06T09:40:52Z</dcterms:created>
  <dcterms:modified xsi:type="dcterms:W3CDTF">2026-10-06T09:44:25Z</dcterms:modified>
</cp:coreProperties>
</file>