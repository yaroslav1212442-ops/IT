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1280" windowHeight="13512"/>
  </bookViews>
  <sheets>
    <sheet name="Сотрудники" sheetId="1" r:id="rId1"/>
    <sheet name="Товары" sheetId="2" r:id="rId2"/>
  </sheets>
  <calcPr calcId="162913"/>
</workbook>
</file>

<file path=xl/calcChain.xml><?xml version="1.0" encoding="utf-8"?>
<calcChain xmlns="http://schemas.openxmlformats.org/spreadsheetml/2006/main">
  <c r="E5" i="2" l="1"/>
  <c r="F5" i="2" s="1"/>
  <c r="E4" i="2"/>
  <c r="F4" i="2" s="1"/>
  <c r="E3" i="2"/>
  <c r="F3" i="2" s="1"/>
  <c r="E2" i="2"/>
  <c r="F2" i="2" s="1"/>
  <c r="F6" i="2" s="1"/>
  <c r="B7" i="1"/>
  <c r="D6" i="1"/>
  <c r="E6" i="1" s="1"/>
  <c r="D5" i="1"/>
  <c r="E5" i="1" s="1"/>
  <c r="E4" i="1"/>
  <c r="D4" i="1"/>
  <c r="F4" i="1" s="1"/>
  <c r="D3" i="1"/>
  <c r="D2" i="1"/>
  <c r="G2" i="2" l="1"/>
  <c r="G3" i="2"/>
  <c r="F6" i="1"/>
  <c r="G4" i="2"/>
  <c r="F5" i="1"/>
  <c r="G5" i="2"/>
  <c r="E3" i="1"/>
  <c r="F3" i="1" s="1"/>
  <c r="D7" i="1"/>
  <c r="E2" i="1"/>
  <c r="E7" i="1" s="1"/>
  <c r="F2" i="1" l="1"/>
  <c r="F7" i="1" l="1"/>
  <c r="B9" i="1"/>
  <c r="B10" i="1"/>
  <c r="B11" i="1"/>
</calcChain>
</file>

<file path=xl/sharedStrings.xml><?xml version="1.0" encoding="utf-8"?>
<sst xmlns="http://schemas.openxmlformats.org/spreadsheetml/2006/main" count="32" uniqueCount="31">
  <si>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</si>
  <si>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</si>
  <si>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</si>
  <si>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</si>
  <si>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</si>
  <si>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</si>
  <si>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p/p</t>
  </si>
  <si>
    <t>Ставка НДФЛ: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</si>
  <si>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</si>
  <si>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</si>
  <si>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</si>
  <si>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</si>
  <si>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</si>
  <si>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</si>
  <si>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</si>
  <si>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</si>
  <si>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</si>
  <si>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</si>
  <si>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</si>
  <si>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</si>
  <si>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</si>
  <si>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</si>
  <si>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</si>
  <si>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(20%)</t>
  </si>
  <si>
    <t>Параметр</t>
  </si>
  <si>
    <t>Значение</t>
  </si>
  <si>
    <t>Ноутбук</t>
  </si>
  <si>
    <t>НДС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</si>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</sst>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2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9" fontId="2" fillId="3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6" sqref="H16"/>
    </sheetView>
  </sheetViews>
  <sheetFormatPr defaultRowHeight="14.4" x14ac:dyDescent="0.3"/>
  <cols>
    <col min="1" max="1" width="20" customWidth="1"/>
    <col min="2" max="2" width="18" customWidth="1"/>
    <col min="3" max="3" width="13" customWidth="1"/>
    <col min="4" max="5" width="16" customWidth="1"/>
    <col min="6" max="6" width="14" customWidth="1"/>
    <col min="7" max="7" width="12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8</v>
      </c>
      <c r="B2" s="2">
        <v>50000</v>
      </c>
      <c r="C2">
        <v>20</v>
      </c>
      <c r="D2" s="2">
        <f>B2*C2/100</f>
        <v>10000</v>
      </c>
      <c r="E2" s="2">
        <f>(B2+D2)*$H$2</f>
        <v>7800</v>
      </c>
      <c r="F2" s="2">
        <f>B2+D2-E2</f>
        <v>52200</v>
      </c>
      <c r="G2">
        <v>1</v>
      </c>
      <c r="H2" s="3">
        <v>0.13</v>
      </c>
    </row>
    <row r="3" spans="1:8" x14ac:dyDescent="0.3">
      <c r="A3" t="s">
        <v>9</v>
      </c>
      <c r="B3" s="2">
        <v>45000</v>
      </c>
      <c r="C3">
        <v>15</v>
      </c>
      <c r="D3" s="2">
        <f>B3*C3/100</f>
        <v>6750</v>
      </c>
      <c r="E3" s="2">
        <f>(B3+D3)*$H$2</f>
        <v>6727.5</v>
      </c>
      <c r="F3" s="2">
        <f>B3+D3-E3</f>
        <v>45022.5</v>
      </c>
      <c r="G3">
        <v>2</v>
      </c>
      <c r="H3" s="3">
        <v>0.13</v>
      </c>
    </row>
    <row r="4" spans="1:8" x14ac:dyDescent="0.3">
      <c r="A4" t="s">
        <v>10</v>
      </c>
      <c r="B4" s="2">
        <v>62000</v>
      </c>
      <c r="C4">
        <v>25</v>
      </c>
      <c r="D4" s="2">
        <f>B4*C4/100</f>
        <v>15500</v>
      </c>
      <c r="E4" s="2">
        <f>(B4+D4)*$H$2</f>
        <v>10075</v>
      </c>
      <c r="F4" s="2">
        <f>B4+D4-E4</f>
        <v>67425</v>
      </c>
      <c r="G4">
        <v>3</v>
      </c>
      <c r="H4" s="3">
        <v>0.13</v>
      </c>
    </row>
    <row r="5" spans="1:8" x14ac:dyDescent="0.3">
      <c r="A5" t="s">
        <v>11</v>
      </c>
      <c r="B5" s="2">
        <v>55000</v>
      </c>
      <c r="C5">
        <v>10</v>
      </c>
      <c r="D5" s="2">
        <f>B5*C5/100</f>
        <v>5500</v>
      </c>
      <c r="E5" s="2">
        <f>(B5+D5)*$H$2</f>
        <v>7865</v>
      </c>
      <c r="F5" s="2">
        <f>B5+D5-E5</f>
        <v>52635</v>
      </c>
      <c r="G5">
        <v>4</v>
      </c>
      <c r="H5" s="3">
        <v>0.13</v>
      </c>
    </row>
    <row r="6" spans="1:8" x14ac:dyDescent="0.3">
      <c r="A6" t="s">
        <v>12</v>
      </c>
      <c r="B6" s="2">
        <v>40000</v>
      </c>
      <c r="C6">
        <v>30</v>
      </c>
      <c r="D6" s="2">
        <f>B6*C6/100</f>
        <v>12000</v>
      </c>
      <c r="E6" s="2">
        <f>(B6+D6)*$H$2</f>
        <v>6760</v>
      </c>
      <c r="F6" s="2">
        <f>B6+D6-E6</f>
        <v>45240</v>
      </c>
      <c r="G6">
        <v>5</v>
      </c>
      <c r="H6" s="3">
        <v>0.13</v>
      </c>
    </row>
    <row r="7" spans="1:8" x14ac:dyDescent="0.3">
      <c r="A7" s="4" t="s">
        <v>13</v>
      </c>
      <c r="B7" s="5">
        <f>SUM(B2:B6)</f>
        <v>252000</v>
      </c>
      <c r="D7" s="5">
        <f>SUM(D2:D6)</f>
        <v>49750</v>
      </c>
      <c r="E7" s="5">
        <f>SUM(E2:E6)</f>
        <v>39227.5</v>
      </c>
      <c r="F7" s="5">
        <f>SUM(F2:F6)</f>
        <v>262522.5</v>
      </c>
    </row>
    <row r="9" spans="1:8" x14ac:dyDescent="0.3">
      <c r="A9" s="4" t="s">
        <v>14</v>
      </c>
      <c r="B9" s="5">
        <f>AVERAGE(F2:F6)</f>
        <v>52504.5</v>
      </c>
    </row>
    <row r="10" spans="1:8" x14ac:dyDescent="0.3">
      <c r="A10" s="4" t="s">
        <v>15</v>
      </c>
      <c r="B10" s="5">
        <f>MAX(F2:F6)</f>
        <v>67425</v>
      </c>
    </row>
    <row r="11" spans="1:8" x14ac:dyDescent="0.3">
      <c r="A11" s="4" t="s">
        <v>16</v>
      </c>
      <c r="B11" s="5">
        <f>MIN(F2:F6)</f>
        <v>45022.5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4.4" x14ac:dyDescent="0.3"/>
  <cols>
    <col min="1" max="1" width="13" customWidth="1"/>
    <col min="2" max="2" width="14" customWidth="1"/>
    <col min="3" max="5" width="12" customWidth="1"/>
    <col min="6" max="6" width="19" customWidth="1"/>
    <col min="7" max="9" width="12" customWidth="1"/>
  </cols>
  <sheetData>
    <row r="1" spans="1:9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4" t="s">
        <v>24</v>
      </c>
      <c r="I1" s="4" t="s">
        <v>25</v>
      </c>
    </row>
    <row r="2" spans="1:9" x14ac:dyDescent="0.3">
      <c r="A2" t="s">
        <v>26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2">
        <f>E2*$I$2</f>
        <v>45000</v>
      </c>
      <c r="H2" t="s">
        <v>27</v>
      </c>
      <c r="I2" s="6">
        <v>0.2</v>
      </c>
    </row>
    <row r="3" spans="1:9" x14ac:dyDescent="0.3">
      <c r="A3" t="s">
        <v>28</v>
      </c>
      <c r="B3" s="2">
        <v>18000</v>
      </c>
      <c r="C3">
        <v>10</v>
      </c>
      <c r="D3">
        <v>3</v>
      </c>
      <c r="E3" s="2">
        <f>B3*C3</f>
        <v>180000</v>
      </c>
      <c r="F3" s="2">
        <f>E3*(1-D3/100)</f>
        <v>174600</v>
      </c>
      <c r="G3" s="2">
        <f>E3*$I$2</f>
        <v>36000</v>
      </c>
    </row>
    <row r="4" spans="1:9" x14ac:dyDescent="0.3">
      <c r="A4" t="s">
        <v>29</v>
      </c>
      <c r="B4" s="2">
        <v>1500</v>
      </c>
      <c r="C4">
        <v>25</v>
      </c>
      <c r="D4">
        <v>10</v>
      </c>
      <c r="E4" s="2">
        <f>B4*C4</f>
        <v>37500</v>
      </c>
      <c r="F4" s="2">
        <f>E4*(1-D4/100)</f>
        <v>33750</v>
      </c>
      <c r="G4" s="2">
        <f>E4*$I$2</f>
        <v>7500</v>
      </c>
    </row>
    <row r="5" spans="1:9" x14ac:dyDescent="0.3">
      <c r="A5" t="s">
        <v>30</v>
      </c>
      <c r="B5" s="2">
        <v>800</v>
      </c>
      <c r="C5">
        <v>30</v>
      </c>
      <c r="D5">
        <v>7</v>
      </c>
      <c r="E5" s="2">
        <f>B5*C5</f>
        <v>24000</v>
      </c>
      <c r="F5" s="2">
        <f>E5*(1-D5/100)</f>
        <v>22320</v>
      </c>
      <c r="G5" s="2">
        <f>E5*$I$2</f>
        <v>4800</v>
      </c>
    </row>
    <row r="6" spans="1:9" x14ac:dyDescent="0.3">
      <c r="A6" s="4" t="s">
        <v>13</v>
      </c>
      <c r="F6" s="5">
        <f>SUM(F2:F5)</f>
        <v>444420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Сотрудники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2026-10-06T09:22:22Z</dcterms:created>
  <dcterms:modified xsi:type="dcterms:W3CDTF">2026-10-06T09:30:39Z</dcterms:modified>
</cp:coreProperties>
</file>